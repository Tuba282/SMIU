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<sst xmlns="http://schemas.openxmlformats.org/spreadsheetml/2006/main" count="28" uniqueCount="28">
  <si>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S.No</t>
  </si>
  <si>
    <t>Names of Students</t>
  </si>
  <si>
    <t>Maths</t>
  </si>
  <si>
    <t>Eng</t>
  </si>
  <si>
    <t>Urdu</t>
  </si>
  <si>
    <t>Comp</t>
  </si>
  <si>
    <t>Draw</t>
  </si>
  <si>
    <t>Pak.Std</t>
  </si>
  <si>
    <t>Total.</t>
  </si>
  <si>
    <t>Obt.</t>
  </si>
  <si>
    <t>Remarks</t>
  </si>
  <si>
    <t>G.P.A / Percentage</t>
  </si>
  <si>
    <t>Grade</t>
  </si>
  <si>
    <t>Shahnawaz</t>
  </si>
  <si>
    <t>Muhammad</t>
  </si>
  <si>
    <t>Mustafa</t>
  </si>
  <si>
    <t>Daood</t>
  </si>
  <si>
    <t>Ahmed</t>
  </si>
  <si>
    <t xml:space="preserve">Fatima </t>
  </si>
  <si>
    <t>Dua</t>
  </si>
  <si>
    <t>Rafeque</t>
  </si>
  <si>
    <t xml:space="preserve">Jaweria </t>
  </si>
  <si>
    <t>Anas</t>
  </si>
  <si>
    <t>Shahida</t>
  </si>
  <si>
    <t>Hajra</t>
  </si>
  <si>
    <t>Maryam</t>
  </si>
  <si>
    <t>Adeel</t>
  </si>
  <si>
    <t>Muneeb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</si>
</sst>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Bahnschrift Light"/>
      <charset val="134"/>
    </font>
    <font>
      <sz val="11"/>
      <color theme="1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472440</xdr:colOff>
      <xdr:row>0</xdr:row>
      <xdr:rowOff>129540</xdr:rowOff>
    </xdr:from>
    <xdr:to>
      <xdr:col>9</xdr:col>
      <xdr:colOff>571500</xdr:colOff>
      <xdr:row>8</xdr:row>
      <xdr:rowOff>60960</xdr:rowOff>
    </xdr:to>
    <xdr:pic>
      <xdr:nvPicPr>
        <xdr:cNvPr id="2" name="Picture 1" descr="login page | Figma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2440" y="129540"/>
          <a:ext cx="5821680" cy="139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105" zoomScaleNormal="105" topLeftCell="A10" workbookViewId="0">
      <selection activeCell="H13" sqref="H13"/>
    </sheetView>
  </sheetViews>
  <sheetFormatPr defaultColWidth="9" defaultRowHeight="14.4"/>
  <cols>
    <col min="2" max="2" width="14.5555555555556" customWidth="1"/>
    <col min="3" max="10" width="8.55555555555556" customWidth="1"/>
    <col min="11" max="13" width="7.33333333333333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</row>
    <row r="3" spans="1:1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</row>
    <row r="4" spans="1:13">
      <c r="A4" s="2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</row>
    <row r="5" spans="1:13">
      <c r="A5" s="2"/>
      <c r="B5" s="2"/>
      <c r="C5" s="2"/>
      <c r="D5" s="2"/>
      <c r="E5" s="2"/>
      <c r="F5" s="2"/>
      <c r="G5" s="2"/>
      <c r="H5" s="2"/>
      <c r="I5" s="1"/>
      <c r="J5" s="1"/>
      <c r="K5" s="1"/>
      <c r="L5" s="1"/>
      <c r="M5" s="1"/>
    </row>
    <row r="6" spans="1:13">
      <c r="A6" s="2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</row>
    <row r="7" spans="1:13">
      <c r="A7" s="2"/>
      <c r="B7" s="2"/>
      <c r="C7" s="2"/>
      <c r="D7" s="2"/>
      <c r="E7" s="2"/>
      <c r="F7" s="2"/>
      <c r="G7" s="2"/>
      <c r="H7" s="2"/>
      <c r="I7" s="1"/>
      <c r="J7" s="1"/>
      <c r="K7" s="1"/>
      <c r="L7" s="1"/>
      <c r="M7" s="1"/>
    </row>
    <row r="8" spans="1:13">
      <c r="A8" s="2"/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</row>
    <row r="9" spans="1:13">
      <c r="A9" s="2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</row>
    <row r="10" ht="39.6" customHeight="1" spans="1:13">
      <c r="A10" s="3" t="s">
        <v>0</v>
      </c>
      <c r="B10" s="3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  <c r="M10" s="4" t="s">
        <v>12</v>
      </c>
    </row>
    <row r="11" ht="15.6" customHeight="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6"/>
      <c r="L11" s="6"/>
      <c r="M11" s="6"/>
    </row>
    <row r="12" ht="15.6" customHeight="1" spans="1:13">
      <c r="A12" s="5">
        <v>1</v>
      </c>
      <c r="B12" s="5" t="s">
        <v>13</v>
      </c>
      <c r="C12" s="5">
        <v>58</v>
      </c>
      <c r="D12" s="5">
        <v>78</v>
      </c>
      <c r="E12" s="5">
        <v>98</v>
      </c>
      <c r="F12" s="5">
        <v>58</v>
      </c>
      <c r="G12" s="5">
        <v>78</v>
      </c>
      <c r="H12" s="5">
        <v>98</v>
      </c>
      <c r="I12" s="5">
        <v>600</v>
      </c>
      <c r="J12" s="5">
        <f>SUM(C12:H12)</f>
        <v>468</v>
      </c>
      <c r="K12" s="6" t="str">
        <f>IF(J12&gt;250,"Pass","Fail")</f>
        <v>Pass</v>
      </c>
      <c r="L12" s="6">
        <f>J12/I12*100</f>
        <v>78</v>
      </c>
      <c r="M12" s="6" t="str">
        <f>IF(L12&gt;=90,"A-0ne",IF(L12&gt;=80,"A",IF(L12&gt;=70,"B",IF(L12&gt;=60,"C",IF(L12&gt;=50,"D",IF(L12&gt;=40,"E","Fail"))))))</f>
        <v>B</v>
      </c>
    </row>
    <row r="13" ht="15.6" customHeight="1" spans="1:13">
      <c r="A13" s="5">
        <v>2</v>
      </c>
      <c r="B13" s="5" t="s">
        <v>14</v>
      </c>
      <c r="C13" s="5">
        <v>26</v>
      </c>
      <c r="D13" s="5">
        <v>25</v>
      </c>
      <c r="E13" s="5">
        <v>24</v>
      </c>
      <c r="F13" s="5">
        <v>26</v>
      </c>
      <c r="G13" s="5">
        <v>25</v>
      </c>
      <c r="H13" s="5">
        <v>24</v>
      </c>
      <c r="I13" s="5">
        <v>600</v>
      </c>
      <c r="J13" s="5">
        <f>SUM(C13:H13)</f>
        <v>150</v>
      </c>
      <c r="K13" s="6" t="str">
        <f t="shared" ref="K13:K26" si="0">IF(J13&gt;250,"Pass","Fail")</f>
        <v>Fail</v>
      </c>
      <c r="L13" s="6">
        <f t="shared" ref="L13:L26" si="1">J13/I13*100</f>
        <v>25</v>
      </c>
      <c r="M13" s="6" t="str">
        <f t="shared" ref="M13:M26" si="2">IF(L13&gt;=90,"A-0ne",IF(L13&gt;=80,"A",IF(L13&gt;=70,"B",IF(L13&gt;=60,"C",IF(L13&gt;=50,"D",IF(L13&gt;=40,"E","Fail"))))))</f>
        <v>Fail</v>
      </c>
    </row>
    <row r="14" ht="15.6" customHeight="1" spans="1:13">
      <c r="A14" s="5">
        <v>3</v>
      </c>
      <c r="B14" s="5" t="s">
        <v>15</v>
      </c>
      <c r="C14" s="5">
        <v>48</v>
      </c>
      <c r="D14" s="5">
        <v>19</v>
      </c>
      <c r="E14" s="5">
        <v>10</v>
      </c>
      <c r="F14" s="5">
        <v>48</v>
      </c>
      <c r="G14" s="5">
        <v>19</v>
      </c>
      <c r="H14" s="5">
        <v>10</v>
      </c>
      <c r="I14" s="5">
        <v>600</v>
      </c>
      <c r="J14" s="5">
        <f t="shared" ref="J13:J26" si="3">SUM(C14:H14)</f>
        <v>154</v>
      </c>
      <c r="K14" s="6" t="str">
        <f t="shared" si="0"/>
        <v>Fail</v>
      </c>
      <c r="L14" s="7">
        <f t="shared" si="1"/>
        <v>25.6666666666667</v>
      </c>
      <c r="M14" s="6" t="str">
        <f t="shared" si="2"/>
        <v>Fail</v>
      </c>
    </row>
    <row r="15" ht="15.6" customHeight="1" spans="1:13">
      <c r="A15" s="5">
        <v>4</v>
      </c>
      <c r="B15" s="5" t="s">
        <v>16</v>
      </c>
      <c r="C15" s="5">
        <v>36</v>
      </c>
      <c r="D15" s="5">
        <v>62</v>
      </c>
      <c r="E15" s="5">
        <v>88</v>
      </c>
      <c r="F15" s="5">
        <v>36</v>
      </c>
      <c r="G15" s="5">
        <v>62</v>
      </c>
      <c r="H15" s="5">
        <v>88</v>
      </c>
      <c r="I15" s="5">
        <v>600</v>
      </c>
      <c r="J15" s="5">
        <f t="shared" si="3"/>
        <v>372</v>
      </c>
      <c r="K15" s="6" t="str">
        <f t="shared" si="0"/>
        <v>Pass</v>
      </c>
      <c r="L15" s="6">
        <f t="shared" si="1"/>
        <v>62</v>
      </c>
      <c r="M15" s="6" t="str">
        <f t="shared" si="2"/>
        <v>C</v>
      </c>
    </row>
    <row r="16" ht="15.6" customHeight="1" spans="1:13">
      <c r="A16" s="5">
        <v>5</v>
      </c>
      <c r="B16" s="5" t="s">
        <v>17</v>
      </c>
      <c r="C16" s="5">
        <v>65</v>
      </c>
      <c r="D16" s="5">
        <v>48</v>
      </c>
      <c r="E16" s="5">
        <v>31</v>
      </c>
      <c r="F16" s="5">
        <v>65</v>
      </c>
      <c r="G16" s="5">
        <v>48</v>
      </c>
      <c r="H16" s="5">
        <v>31</v>
      </c>
      <c r="I16" s="5">
        <v>600</v>
      </c>
      <c r="J16" s="5">
        <f t="shared" si="3"/>
        <v>288</v>
      </c>
      <c r="K16" s="6" t="str">
        <f t="shared" si="0"/>
        <v>Pass</v>
      </c>
      <c r="L16" s="6">
        <f t="shared" si="1"/>
        <v>48</v>
      </c>
      <c r="M16" s="6" t="str">
        <f t="shared" si="2"/>
        <v>E</v>
      </c>
    </row>
    <row r="17" ht="15.6" customHeight="1" spans="1:13">
      <c r="A17" s="5">
        <v>6</v>
      </c>
      <c r="B17" s="5" t="s">
        <v>18</v>
      </c>
      <c r="C17" s="5">
        <v>96</v>
      </c>
      <c r="D17" s="5">
        <v>35</v>
      </c>
      <c r="E17" s="5">
        <v>76</v>
      </c>
      <c r="F17" s="5">
        <v>96</v>
      </c>
      <c r="G17" s="5">
        <v>35</v>
      </c>
      <c r="H17" s="5">
        <v>76</v>
      </c>
      <c r="I17" s="5">
        <v>600</v>
      </c>
      <c r="J17" s="5">
        <f t="shared" si="3"/>
        <v>414</v>
      </c>
      <c r="K17" s="6" t="str">
        <f t="shared" si="0"/>
        <v>Pass</v>
      </c>
      <c r="L17" s="6">
        <f t="shared" si="1"/>
        <v>69</v>
      </c>
      <c r="M17" s="6" t="str">
        <f t="shared" si="2"/>
        <v>C</v>
      </c>
    </row>
    <row r="18" ht="15.6" customHeight="1" spans="1:13">
      <c r="A18" s="5">
        <v>7</v>
      </c>
      <c r="B18" s="5" t="s">
        <v>19</v>
      </c>
      <c r="C18" s="5">
        <v>45</v>
      </c>
      <c r="D18" s="5">
        <v>65</v>
      </c>
      <c r="E18" s="5">
        <v>85</v>
      </c>
      <c r="F18" s="5">
        <v>45</v>
      </c>
      <c r="G18" s="5">
        <v>65</v>
      </c>
      <c r="H18" s="5">
        <v>85</v>
      </c>
      <c r="I18" s="5">
        <v>600</v>
      </c>
      <c r="J18" s="5">
        <f t="shared" si="3"/>
        <v>390</v>
      </c>
      <c r="K18" s="6" t="str">
        <f t="shared" si="0"/>
        <v>Pass</v>
      </c>
      <c r="L18" s="6">
        <f t="shared" si="1"/>
        <v>65</v>
      </c>
      <c r="M18" s="6" t="str">
        <f t="shared" si="2"/>
        <v>C</v>
      </c>
    </row>
    <row r="19" ht="15.6" customHeight="1" spans="1:13">
      <c r="A19" s="5">
        <v>8</v>
      </c>
      <c r="B19" s="5" t="s">
        <v>20</v>
      </c>
      <c r="C19" s="5">
        <v>85</v>
      </c>
      <c r="D19" s="5">
        <v>60</v>
      </c>
      <c r="E19" s="5">
        <v>35</v>
      </c>
      <c r="F19" s="5">
        <v>85</v>
      </c>
      <c r="G19" s="5">
        <v>60</v>
      </c>
      <c r="H19" s="5">
        <v>35</v>
      </c>
      <c r="I19" s="5">
        <v>600</v>
      </c>
      <c r="J19" s="5">
        <f t="shared" si="3"/>
        <v>360</v>
      </c>
      <c r="K19" s="6" t="str">
        <f t="shared" si="0"/>
        <v>Pass</v>
      </c>
      <c r="L19" s="6">
        <f t="shared" si="1"/>
        <v>60</v>
      </c>
      <c r="M19" s="6" t="str">
        <f t="shared" si="2"/>
        <v>C</v>
      </c>
    </row>
    <row r="20" ht="15.6" customHeight="1" spans="1:13">
      <c r="A20" s="5">
        <v>9</v>
      </c>
      <c r="B20" s="5" t="s">
        <v>21</v>
      </c>
      <c r="C20" s="5">
        <v>75</v>
      </c>
      <c r="D20" s="5">
        <v>45</v>
      </c>
      <c r="E20" s="5">
        <v>15</v>
      </c>
      <c r="F20" s="5">
        <v>75</v>
      </c>
      <c r="G20" s="5">
        <v>45</v>
      </c>
      <c r="H20" s="5">
        <v>15</v>
      </c>
      <c r="I20" s="5">
        <v>600</v>
      </c>
      <c r="J20" s="5">
        <f t="shared" si="3"/>
        <v>270</v>
      </c>
      <c r="K20" s="6" t="str">
        <f t="shared" si="0"/>
        <v>Pass</v>
      </c>
      <c r="L20" s="6">
        <f t="shared" si="1"/>
        <v>45</v>
      </c>
      <c r="M20" s="6" t="str">
        <f t="shared" si="2"/>
        <v>E</v>
      </c>
    </row>
    <row r="21" ht="15.6" customHeight="1" spans="1:13">
      <c r="A21" s="5">
        <v>10</v>
      </c>
      <c r="B21" s="5" t="s">
        <v>22</v>
      </c>
      <c r="C21" s="5">
        <v>25</v>
      </c>
      <c r="D21" s="5">
        <v>85</v>
      </c>
      <c r="E21" s="5">
        <v>45</v>
      </c>
      <c r="F21" s="5">
        <v>25</v>
      </c>
      <c r="G21" s="5">
        <v>85</v>
      </c>
      <c r="H21" s="5">
        <v>45</v>
      </c>
      <c r="I21" s="5">
        <v>600</v>
      </c>
      <c r="J21" s="5">
        <f t="shared" si="3"/>
        <v>310</v>
      </c>
      <c r="K21" s="6" t="str">
        <f t="shared" si="0"/>
        <v>Pass</v>
      </c>
      <c r="L21" s="7">
        <f t="shared" si="1"/>
        <v>51.6666666666667</v>
      </c>
      <c r="M21" s="6" t="str">
        <f t="shared" si="2"/>
        <v>D</v>
      </c>
    </row>
    <row r="22" ht="15.6" customHeight="1" spans="1:13">
      <c r="A22" s="5">
        <v>11</v>
      </c>
      <c r="B22" s="5" t="s">
        <v>23</v>
      </c>
      <c r="C22" s="5">
        <v>45</v>
      </c>
      <c r="D22" s="5">
        <v>62</v>
      </c>
      <c r="E22" s="5">
        <v>79</v>
      </c>
      <c r="F22" s="5">
        <v>45</v>
      </c>
      <c r="G22" s="5">
        <v>62</v>
      </c>
      <c r="H22" s="5">
        <v>79</v>
      </c>
      <c r="I22" s="5">
        <v>600</v>
      </c>
      <c r="J22" s="5">
        <f t="shared" si="3"/>
        <v>372</v>
      </c>
      <c r="K22" s="6" t="str">
        <f t="shared" si="0"/>
        <v>Pass</v>
      </c>
      <c r="L22" s="6">
        <f t="shared" si="1"/>
        <v>62</v>
      </c>
      <c r="M22" s="6" t="str">
        <f t="shared" si="2"/>
        <v>C</v>
      </c>
    </row>
    <row r="23" ht="15.6" customHeight="1" spans="1:13">
      <c r="A23" s="5">
        <v>12</v>
      </c>
      <c r="B23" s="5" t="s">
        <v>24</v>
      </c>
      <c r="C23" s="5">
        <v>96</v>
      </c>
      <c r="D23" s="5">
        <v>15</v>
      </c>
      <c r="E23" s="5">
        <v>66</v>
      </c>
      <c r="F23" s="5">
        <v>96</v>
      </c>
      <c r="G23" s="5">
        <v>15</v>
      </c>
      <c r="H23" s="5">
        <v>66</v>
      </c>
      <c r="I23" s="5">
        <v>600</v>
      </c>
      <c r="J23" s="5">
        <f t="shared" si="3"/>
        <v>354</v>
      </c>
      <c r="K23" s="6" t="str">
        <f t="shared" si="0"/>
        <v>Pass</v>
      </c>
      <c r="L23" s="6">
        <f t="shared" si="1"/>
        <v>59</v>
      </c>
      <c r="M23" s="6" t="str">
        <f t="shared" si="2"/>
        <v>D</v>
      </c>
    </row>
    <row r="24" ht="15.6" customHeight="1" spans="1:13">
      <c r="A24" s="5">
        <v>13</v>
      </c>
      <c r="B24" s="5" t="s">
        <v>25</v>
      </c>
      <c r="C24" s="5">
        <v>78</v>
      </c>
      <c r="D24" s="5">
        <v>78</v>
      </c>
      <c r="E24" s="5">
        <v>78</v>
      </c>
      <c r="F24" s="5">
        <v>78</v>
      </c>
      <c r="G24" s="5">
        <v>78</v>
      </c>
      <c r="H24" s="5">
        <v>78</v>
      </c>
      <c r="I24" s="5">
        <v>600</v>
      </c>
      <c r="J24" s="5">
        <f t="shared" si="3"/>
        <v>468</v>
      </c>
      <c r="K24" s="6" t="str">
        <f t="shared" si="0"/>
        <v>Pass</v>
      </c>
      <c r="L24" s="6">
        <f t="shared" si="1"/>
        <v>78</v>
      </c>
      <c r="M24" s="6" t="str">
        <f t="shared" si="2"/>
        <v>B</v>
      </c>
    </row>
    <row r="25" ht="15.6" customHeight="1" spans="1:13">
      <c r="A25" s="5">
        <v>14</v>
      </c>
      <c r="B25" s="5" t="s">
        <v>26</v>
      </c>
      <c r="C25" s="5">
        <v>78</v>
      </c>
      <c r="D25" s="5">
        <v>96</v>
      </c>
      <c r="E25" s="5">
        <v>14</v>
      </c>
      <c r="F25" s="5">
        <v>78</v>
      </c>
      <c r="G25" s="5">
        <v>96</v>
      </c>
      <c r="H25" s="5">
        <v>14</v>
      </c>
      <c r="I25" s="5">
        <v>600</v>
      </c>
      <c r="J25" s="5">
        <f t="shared" si="3"/>
        <v>376</v>
      </c>
      <c r="K25" s="6" t="str">
        <f t="shared" si="0"/>
        <v>Pass</v>
      </c>
      <c r="L25" s="7">
        <f t="shared" si="1"/>
        <v>62.6666666666667</v>
      </c>
      <c r="M25" s="6" t="str">
        <f t="shared" si="2"/>
        <v>C</v>
      </c>
    </row>
    <row r="26" ht="15.6" customHeight="1" spans="1:13">
      <c r="A26" s="5">
        <v>15</v>
      </c>
      <c r="B26" s="5" t="s">
        <v>27</v>
      </c>
      <c r="C26" s="5">
        <v>96</v>
      </c>
      <c r="D26" s="5">
        <v>78</v>
      </c>
      <c r="E26" s="5">
        <v>60</v>
      </c>
      <c r="F26" s="5">
        <v>96</v>
      </c>
      <c r="G26" s="5">
        <v>78</v>
      </c>
      <c r="H26" s="5">
        <v>60</v>
      </c>
      <c r="I26" s="5">
        <v>600</v>
      </c>
      <c r="J26" s="5">
        <f t="shared" si="3"/>
        <v>468</v>
      </c>
      <c r="K26" s="6" t="str">
        <f t="shared" si="0"/>
        <v>Pass</v>
      </c>
      <c r="L26" s="6">
        <f t="shared" si="1"/>
        <v>78</v>
      </c>
      <c r="M26" s="6" t="str">
        <f t="shared" si="2"/>
        <v>B</v>
      </c>
    </row>
  </sheetData>
  <mergeCells count="1">
    <mergeCell ref="A2:H9"/>
  </mergeCells>
  <conditionalFormatting sqref="J12:J26">
    <cfRule type="cellIs" dxfId="0" priority="3" operator="greaterThan">
      <formula>250</formula>
    </cfRule>
    <cfRule type="cellIs" dxfId="1" priority="4" operator="lessThan">
      <formula>250</formula>
    </cfRule>
  </conditionalFormatting>
  <conditionalFormatting sqref="K12:K26">
    <cfRule type="cellIs" dxfId="2" priority="5" operator="greaterThan">
      <formula>"Pass"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">
      <iconSet iconSet="3TrafficLights1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Jan</dc:creator>
  <cp:lastModifiedBy>Tuba Jan</cp:lastModifiedBy>
  <dcterms:created xsi:type="dcterms:W3CDTF">2025-11-25T17:33:00Z</dcterms:created>
  <cp:lastPrinted>2025-11-25T18:23:00Z</cp:lastPrinted>
  <dcterms:modified xsi:type="dcterms:W3CDTF">2025-12-02T21:54:47Z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2BAA40DE5A8A41D7AC66D5202291ABCC_12</vt:lpwstr>
  </property>
  <property fmtid="{D5CDD505-2E9C-101B-9397-08002B2CF9AE}" pid="3" name="KSOProductBuildVer">
    <vt:lpwstr>1033-12.2.0.23155</vt:lpwstr>
  </property>
</Properties>
</file>